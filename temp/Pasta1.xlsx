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orPoint\V3\despesas_app\temp\"/>
    </mc:Choice>
  </mc:AlternateContent>
  <xr:revisionPtr revIDLastSave="0" documentId="13_ncr:1_{57C675D4-D165-43FB-8200-0E4A875F052C}" xr6:coauthVersionLast="36" xr6:coauthVersionMax="36" xr10:uidLastSave="{00000000-0000-0000-0000-000000000000}"/>
  <bookViews>
    <workbookView xWindow="0" yWindow="0" windowWidth="17490" windowHeight="6990" activeTab="2" xr2:uid="{A9D7FA86-990E-4481-A319-502A4B0BAE4F}"/>
  </bookViews>
  <sheets>
    <sheet name="Planilha1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0" i="1" l="1"/>
  <c r="V13" i="1"/>
  <c r="N7" i="2"/>
  <c r="C18" i="2"/>
  <c r="F18" i="2"/>
  <c r="F5" i="2"/>
  <c r="C16" i="2"/>
  <c r="F16" i="2" s="1"/>
  <c r="F2" i="2"/>
  <c r="F3" i="2"/>
  <c r="F4" i="2"/>
  <c r="F6" i="2"/>
  <c r="F7" i="2"/>
  <c r="F8" i="2"/>
  <c r="F9" i="2"/>
  <c r="F10" i="2"/>
  <c r="F11" i="2"/>
  <c r="F12" i="2"/>
  <c r="F13" i="2"/>
  <c r="F14" i="2"/>
  <c r="F15" i="2"/>
  <c r="F17" i="2"/>
  <c r="F19" i="2"/>
  <c r="F20" i="2"/>
  <c r="F21" i="2"/>
  <c r="F22" i="2"/>
  <c r="F23" i="2"/>
  <c r="F24" i="2"/>
  <c r="F25" i="2"/>
  <c r="F26" i="2"/>
  <c r="F27" i="2"/>
  <c r="F1" i="2"/>
  <c r="O21" i="1"/>
  <c r="N15" i="1"/>
  <c r="E25" i="1"/>
  <c r="J26" i="1"/>
  <c r="J22" i="1"/>
  <c r="M20" i="1"/>
  <c r="I20" i="1"/>
  <c r="K10" i="1"/>
  <c r="M7" i="1"/>
  <c r="K6" i="1"/>
  <c r="G8" i="1"/>
  <c r="G6" i="1"/>
</calcChain>
</file>

<file path=xl/sharedStrings.xml><?xml version="1.0" encoding="utf-8"?>
<sst xmlns="http://schemas.openxmlformats.org/spreadsheetml/2006/main" count="209" uniqueCount="124">
  <si>
    <t>ATIVAS 980</t>
  </si>
  <si>
    <t>INAPTAS 646</t>
  </si>
  <si>
    <t>SUSPENSAS 439</t>
  </si>
  <si>
    <t>BAIXADAS 382</t>
  </si>
  <si>
    <t xml:space="preserve"> mult posto</t>
  </si>
  <si>
    <t>30/11/20250</t>
  </si>
  <si>
    <t>pkk calcados</t>
  </si>
  <si>
    <t>ferreira costa</t>
  </si>
  <si>
    <t>richelo</t>
  </si>
  <si>
    <t>estacionamento</t>
  </si>
  <si>
    <t>faculhub</t>
  </si>
  <si>
    <t>mult posto</t>
  </si>
  <si>
    <t>02.03</t>
  </si>
  <si>
    <t>kabum</t>
  </si>
  <si>
    <t>02.10</t>
  </si>
  <si>
    <t>merc boa</t>
  </si>
  <si>
    <t>02.3</t>
  </si>
  <si>
    <t>2.3</t>
  </si>
  <si>
    <t>3.3</t>
  </si>
  <si>
    <t>2008-06-16-15.20.52.532000</t>
  </si>
  <si>
    <t>0.00</t>
  </si>
  <si>
    <t>6.49</t>
  </si>
  <si>
    <t>A</t>
  </si>
  <si>
    <t>2025-09-11-08.37.03.999000</t>
  </si>
  <si>
    <t>2024-12-02-20.25.08.225000</t>
  </si>
  <si>
    <t>16.82</t>
  </si>
  <si>
    <t>2025-02-05-11.17.03.923000</t>
  </si>
  <si>
    <t>2024-12-02-20.25.08.161000</t>
  </si>
  <si>
    <t>16.75</t>
  </si>
  <si>
    <t>2025-02-05-11.37.11.584000</t>
  </si>
  <si>
    <t>2024-12-02-20.25.08.148000</t>
  </si>
  <si>
    <t>16.76</t>
  </si>
  <si>
    <t>2025-02-05-11.18.54.986000</t>
  </si>
  <si>
    <t>2024-12-02-20.25.08.136000</t>
  </si>
  <si>
    <t>42.23</t>
  </si>
  <si>
    <t>2025-02-05-11.20.13.453000</t>
  </si>
  <si>
    <t>2024-12-02-20.25.08.123000</t>
  </si>
  <si>
    <t>2025-02-05-11.22.05.563000</t>
  </si>
  <si>
    <t>2024-12-02-20.25.08.111000</t>
  </si>
  <si>
    <t>21.03</t>
  </si>
  <si>
    <t>2025-02-05-11.23.35.687000</t>
  </si>
  <si>
    <t>2022-11-30-19.22.45.106000</t>
  </si>
  <si>
    <t>38.47</t>
  </si>
  <si>
    <t>2025-09-11-08.38.12.201000</t>
  </si>
  <si>
    <t>2024-12-02-20.25.08.098000</t>
  </si>
  <si>
    <t>2025-02-05-11.25.33.735000</t>
  </si>
  <si>
    <t>2024-12-02-20.25.08.086000</t>
  </si>
  <si>
    <t>2025-02-05-11.27.26.668000</t>
  </si>
  <si>
    <t>2024-12-02-20.25.08.074000</t>
  </si>
  <si>
    <t>63.45</t>
  </si>
  <si>
    <t>2025-02-05-11.28.53.882000</t>
  </si>
  <si>
    <t>2024-12-02-20.25.08.061000</t>
  </si>
  <si>
    <t>2025-02-05-11.29.55.528000</t>
  </si>
  <si>
    <t>2024-12-02-20.25.08.049000</t>
  </si>
  <si>
    <t>2025-02-05-11.30.41.887000</t>
  </si>
  <si>
    <t>2024-12-02-20.25.08.036000</t>
  </si>
  <si>
    <t>212.36</t>
  </si>
  <si>
    <t>2025-02-05-11.32.01.286000</t>
  </si>
  <si>
    <t>2024-12-02-20.25.08.024000</t>
  </si>
  <si>
    <t>2025-02-05-11.33.18.606000</t>
  </si>
  <si>
    <t>2024-12-02-20.25.08.011000</t>
  </si>
  <si>
    <t>424.83</t>
  </si>
  <si>
    <t>2025-02-05-11.36.21.377000</t>
  </si>
  <si>
    <t>2024-12-02-20.25.07.999000</t>
  </si>
  <si>
    <t>2025-02-05-11.34.25.328000</t>
  </si>
  <si>
    <t>2025-02-05-11.34.25.335000</t>
  </si>
  <si>
    <t>508.84</t>
  </si>
  <si>
    <t>2025-02-05-11.35.57.043000</t>
  </si>
  <si>
    <t>2024-12-02-20.25.07.988000</t>
  </si>
  <si>
    <t>2025-02-05-11.35.13.788000</t>
  </si>
  <si>
    <t>CTRIBUCODI</t>
  </si>
  <si>
    <t>CPARTBCODI</t>
  </si>
  <si>
    <t>THVLPTDTIN</t>
  </si>
  <si>
    <t>CHVLPTFAIX</t>
  </si>
  <si>
    <t>VHVLPTVLRF</t>
  </si>
  <si>
    <t>VHVLPTVALO</t>
  </si>
  <si>
    <t>CEMPRECODI</t>
  </si>
  <si>
    <t>AUSUACMATR</t>
  </si>
  <si>
    <t>CHVLPTOPER</t>
  </si>
  <si>
    <t>THVLPTDTFI</t>
  </si>
  <si>
    <t>AHVLPTANOC</t>
  </si>
  <si>
    <t>AHVLPTPERC</t>
  </si>
  <si>
    <t>63.92</t>
  </si>
  <si>
    <t>2024-12-02-20.25.07.890000</t>
  </si>
  <si>
    <t>51.17</t>
  </si>
  <si>
    <t>2024-12-02-20.25.07.907000</t>
  </si>
  <si>
    <t>2025-02-05-11.35.13.796000</t>
  </si>
  <si>
    <t>2025-02-05-11.35.57.051000</t>
  </si>
  <si>
    <t>2025-02-05-11.36.21.400000</t>
  </si>
  <si>
    <t>25.44</t>
  </si>
  <si>
    <t>2025-02-05-11.33.18.614000</t>
  </si>
  <si>
    <t>254.42</t>
  </si>
  <si>
    <t>2025-02-05-11.32.01.294000</t>
  </si>
  <si>
    <t>2025-02-05-11.30.41.895000</t>
  </si>
  <si>
    <t>2025-02-05-11.29.55.576000</t>
  </si>
  <si>
    <t>76.33</t>
  </si>
  <si>
    <t>2025-02-05-11.28.53.890000</t>
  </si>
  <si>
    <t>2025-02-05-11.27.26.675000</t>
  </si>
  <si>
    <t>50.88</t>
  </si>
  <si>
    <t>2025-02-05-11.25.33.746000</t>
  </si>
  <si>
    <t>2025-02-05-11.23.35.697000</t>
  </si>
  <si>
    <t>2025-02-05-11.22.05.571000</t>
  </si>
  <si>
    <t>2025-02-05-11.20.13.464000</t>
  </si>
  <si>
    <t>20.35</t>
  </si>
  <si>
    <t>2025-02-05-11.18.55.008000</t>
  </si>
  <si>
    <t>2025-02-05-11.37.11.641000</t>
  </si>
  <si>
    <t>2025-02-05-11.17.03.942000</t>
  </si>
  <si>
    <t>CVLPTBFAIX</t>
  </si>
  <si>
    <t>VVLPTBVLRF</t>
  </si>
  <si>
    <t>VVLPTBVALO</t>
  </si>
  <si>
    <t>TVLPTBULAT</t>
  </si>
  <si>
    <t>APARTBANOC</t>
  </si>
  <si>
    <t>APARTBPERC</t>
  </si>
  <si>
    <t>SFCM.TBHISTVALORTRIBUTOPARAMETROS</t>
  </si>
  <si>
    <t>SFCM.TBVALORTRIBUTOPARAMETRO</t>
  </si>
  <si>
    <r>
      <t>SELECT</t>
    </r>
    <r>
      <rPr>
        <sz val="10"/>
        <color rgb="FF000000"/>
        <rFont val="Consolas"/>
        <family val="3"/>
      </rPr>
      <t xml:space="preserve"> * </t>
    </r>
    <r>
      <rPr>
        <b/>
        <sz val="10"/>
        <color rgb="FF800000"/>
        <rFont val="Consolas"/>
        <family val="3"/>
      </rPr>
      <t>FROM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SFCM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TBVALORPARAMETROTRIBUTO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8E00C6"/>
        <rFont val="Consolas"/>
        <family val="3"/>
      </rPr>
      <t>t</t>
    </r>
  </si>
  <si>
    <r>
      <t>WHERE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8E00C6"/>
        <rFont val="Consolas"/>
        <family val="3"/>
      </rPr>
      <t>T</t>
    </r>
    <r>
      <rPr>
        <sz val="10"/>
        <color rgb="FF000000"/>
        <rFont val="Consolas"/>
        <family val="3"/>
      </rPr>
      <t>.</t>
    </r>
    <r>
      <rPr>
        <sz val="10"/>
        <color rgb="FF006464"/>
        <rFont val="Consolas"/>
        <family val="3"/>
      </rPr>
      <t>CTRIBUCODI</t>
    </r>
    <r>
      <rPr>
        <sz val="10"/>
        <color rgb="FF000000"/>
        <rFont val="Consolas"/>
        <family val="3"/>
      </rPr>
      <t xml:space="preserve"> =</t>
    </r>
    <r>
      <rPr>
        <sz val="10"/>
        <color rgb="FF008000"/>
        <rFont val="Consolas"/>
        <family val="3"/>
      </rPr>
      <t>'6'</t>
    </r>
  </si>
  <si>
    <r>
      <t>AND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8E00C6"/>
        <rFont val="Consolas"/>
        <family val="3"/>
      </rPr>
      <t>T</t>
    </r>
    <r>
      <rPr>
        <sz val="10"/>
        <color rgb="FF000000"/>
        <rFont val="Consolas"/>
        <family val="3"/>
      </rPr>
      <t>.</t>
    </r>
    <r>
      <rPr>
        <sz val="10"/>
        <color rgb="FF006464"/>
        <rFont val="Consolas"/>
        <family val="3"/>
      </rPr>
      <t>APARTBANOC</t>
    </r>
    <r>
      <rPr>
        <sz val="10"/>
        <color rgb="FF000000"/>
        <rFont val="Consolas"/>
        <family val="3"/>
      </rPr>
      <t xml:space="preserve"> =</t>
    </r>
    <r>
      <rPr>
        <sz val="10"/>
        <color rgb="FF008000"/>
        <rFont val="Consolas"/>
        <family val="3"/>
      </rPr>
      <t>'2025'</t>
    </r>
  </si>
  <si>
    <r>
      <t>AND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8E00C6"/>
        <rFont val="Consolas"/>
        <family val="3"/>
      </rPr>
      <t>T</t>
    </r>
    <r>
      <rPr>
        <sz val="10"/>
        <color rgb="FF000000"/>
        <rFont val="Consolas"/>
        <family val="3"/>
      </rPr>
      <t>.</t>
    </r>
    <r>
      <rPr>
        <sz val="10"/>
        <color rgb="FF006464"/>
        <rFont val="Consolas"/>
        <family val="3"/>
      </rPr>
      <t>APARTBPERC</t>
    </r>
    <r>
      <rPr>
        <sz val="10"/>
        <color rgb="FF000000"/>
        <rFont val="Consolas"/>
        <family val="3"/>
      </rPr>
      <t xml:space="preserve"> =</t>
    </r>
    <r>
      <rPr>
        <sz val="10"/>
        <color rgb="FF008000"/>
        <rFont val="Consolas"/>
        <family val="3"/>
      </rPr>
      <t>'1'</t>
    </r>
  </si>
  <si>
    <t>SFCM.TBHISTVALORTRIBUTOPARAMETRO</t>
  </si>
  <si>
    <r>
      <t>SELECT</t>
    </r>
    <r>
      <rPr>
        <sz val="10"/>
        <color rgb="FF000000"/>
        <rFont val="Consolas"/>
        <family val="3"/>
      </rPr>
      <t xml:space="preserve"> * </t>
    </r>
    <r>
      <rPr>
        <b/>
        <sz val="10"/>
        <color rgb="FF800000"/>
        <rFont val="Consolas"/>
        <family val="3"/>
      </rPr>
      <t>FROM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SFCM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TBHISTVALORPARAMETROTRIBUTO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8E00C6"/>
        <rFont val="Consolas"/>
        <family val="3"/>
      </rPr>
      <t>t</t>
    </r>
  </si>
  <si>
    <r>
      <t>ORDER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BY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8E00C6"/>
        <rFont val="Consolas"/>
        <family val="3"/>
      </rPr>
      <t>T</t>
    </r>
    <r>
      <rPr>
        <sz val="10"/>
        <color rgb="FF000000"/>
        <rFont val="Consolas"/>
        <family val="3"/>
      </rPr>
      <t>.</t>
    </r>
    <r>
      <rPr>
        <sz val="10"/>
        <color rgb="FF006464"/>
        <rFont val="Consolas"/>
        <family val="3"/>
      </rPr>
      <t>CPARTBCODI</t>
    </r>
  </si>
  <si>
    <t>2025-09-11-08.37.04.019000</t>
  </si>
  <si>
    <t>2025-09-11-08.38.12.208000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</si>
</sst>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b/>
      <sz val="10"/>
      <color rgb="FF800000"/>
      <name val="Consolas"/>
      <family val="3"/>
    </font>
    <font>
      <i/>
      <sz val="10"/>
      <color rgb="FF8E00C6"/>
      <name val="Consolas"/>
      <family val="3"/>
    </font>
    <font>
      <sz val="10"/>
      <color rgb="FF008000"/>
      <name val="Consolas"/>
      <family val="3"/>
    </font>
    <font>
      <sz val="10"/>
      <color rgb="FF956037"/>
      <name val="Consolas"/>
      <family val="3"/>
    </font>
    <font>
      <sz val="10"/>
      <color rgb="FF8E00C6"/>
      <name val="Consolas"/>
      <family val="3"/>
    </font>
    <font>
      <sz val="10"/>
      <color rgb="FF006464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2" borderId="0" xfId="0" applyFill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7" xfId="0" applyFill="1" applyBorder="1"/>
    <xf numFmtId="0" fontId="0" fillId="3" borderId="1" xfId="0" applyFill="1" applyBorder="1"/>
    <xf numFmtId="0" fontId="0" fillId="3" borderId="8" xfId="0" applyFill="1" applyBorder="1"/>
    <xf numFmtId="0" fontId="0" fillId="0" borderId="7" xfId="0" applyFill="1" applyBorder="1"/>
    <xf numFmtId="0" fontId="0" fillId="0" borderId="1" xfId="0" applyFill="1" applyBorder="1"/>
    <xf numFmtId="0" fontId="0" fillId="0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06EAC-AE2C-472F-BE99-85E331B70E4A}">
  <dimension ref="E3:V26"/>
  <sheetViews>
    <sheetView workbookViewId="0">
      <selection activeCell="S21" sqref="S21"/>
    </sheetView>
  </sheetViews>
  <sheetFormatPr defaultRowHeight="15" x14ac:dyDescent="0.25"/>
  <sheetData>
    <row r="3" spans="5:22" x14ac:dyDescent="0.25">
      <c r="P3">
        <v>117.27</v>
      </c>
    </row>
    <row r="4" spans="5:22" x14ac:dyDescent="0.25">
      <c r="P4">
        <v>246.11</v>
      </c>
    </row>
    <row r="5" spans="5:22" x14ac:dyDescent="0.25">
      <c r="P5">
        <v>928.79</v>
      </c>
    </row>
    <row r="6" spans="5:22" x14ac:dyDescent="0.25">
      <c r="E6">
        <v>16</v>
      </c>
      <c r="F6">
        <v>179.49</v>
      </c>
      <c r="G6">
        <f>F6*E6</f>
        <v>2871.84</v>
      </c>
      <c r="I6">
        <v>9</v>
      </c>
      <c r="K6">
        <f>257.38*9</f>
        <v>2316.42</v>
      </c>
      <c r="P6">
        <v>605.69000000000005</v>
      </c>
    </row>
    <row r="7" spans="5:22" x14ac:dyDescent="0.25">
      <c r="G7">
        <v>1770.89</v>
      </c>
      <c r="M7">
        <f>491.96*4</f>
        <v>1967.84</v>
      </c>
      <c r="P7">
        <v>1770.89</v>
      </c>
    </row>
    <row r="8" spans="5:22" x14ac:dyDescent="0.25">
      <c r="G8">
        <f>G6-G7</f>
        <v>1100.95</v>
      </c>
      <c r="P8">
        <v>326.16000000000003</v>
      </c>
    </row>
    <row r="9" spans="5:22" x14ac:dyDescent="0.25">
      <c r="P9">
        <v>678.72</v>
      </c>
    </row>
    <row r="10" spans="5:22" x14ac:dyDescent="0.25">
      <c r="K10">
        <f>M7-G7</f>
        <v>196.94999999999982</v>
      </c>
      <c r="P10">
        <v>1416.78</v>
      </c>
      <c r="V10">
        <v>12</v>
      </c>
    </row>
    <row r="11" spans="5:22" x14ac:dyDescent="0.25">
      <c r="P11">
        <v>2025.36</v>
      </c>
      <c r="V11">
        <v>23.92</v>
      </c>
    </row>
    <row r="12" spans="5:22" x14ac:dyDescent="0.25">
      <c r="P12">
        <v>1068.33</v>
      </c>
      <c r="V12">
        <v>18.54</v>
      </c>
    </row>
    <row r="13" spans="5:22" x14ac:dyDescent="0.25">
      <c r="P13">
        <v>996.27</v>
      </c>
      <c r="V13">
        <f>SUM(V10:V12)</f>
        <v>54.46</v>
      </c>
    </row>
    <row r="15" spans="5:22" x14ac:dyDescent="0.25">
      <c r="N15">
        <f>54.72*2</f>
        <v>109.44</v>
      </c>
    </row>
    <row r="16" spans="5:22" x14ac:dyDescent="0.25">
      <c r="E16" t="s">
        <v>0</v>
      </c>
      <c r="K16">
        <v>3429.14</v>
      </c>
    </row>
    <row r="17" spans="5:19" x14ac:dyDescent="0.25">
      <c r="E17" t="s">
        <v>1</v>
      </c>
    </row>
    <row r="18" spans="5:19" x14ac:dyDescent="0.25">
      <c r="E18" t="s">
        <v>2</v>
      </c>
      <c r="S18">
        <v>931.81</v>
      </c>
    </row>
    <row r="19" spans="5:19" x14ac:dyDescent="0.25">
      <c r="E19" t="s">
        <v>3</v>
      </c>
      <c r="S19">
        <v>964.93</v>
      </c>
    </row>
    <row r="20" spans="5:19" x14ac:dyDescent="0.25">
      <c r="I20">
        <f>J20*K20</f>
        <v>4752</v>
      </c>
      <c r="J20">
        <v>99</v>
      </c>
      <c r="K20">
        <v>48</v>
      </c>
      <c r="M20">
        <f>3751.14/99</f>
        <v>37.890303030303031</v>
      </c>
      <c r="S20">
        <f>S19-S18</f>
        <v>33.120000000000005</v>
      </c>
    </row>
    <row r="21" spans="5:19" x14ac:dyDescent="0.25">
      <c r="O21">
        <f>267.75*2</f>
        <v>535.5</v>
      </c>
    </row>
    <row r="22" spans="5:19" x14ac:dyDescent="0.25">
      <c r="I22">
        <v>4000</v>
      </c>
      <c r="J22">
        <f>48*99</f>
        <v>4752</v>
      </c>
    </row>
    <row r="25" spans="5:19" x14ac:dyDescent="0.25">
      <c r="E25">
        <f>153.86*5</f>
        <v>769.30000000000007</v>
      </c>
    </row>
    <row r="26" spans="5:19" x14ac:dyDescent="0.25">
      <c r="J26">
        <f>46.58*3</f>
        <v>139.74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C855-8465-4B81-BBEF-E977359BBA90}">
  <dimension ref="A1:N27"/>
  <sheetViews>
    <sheetView workbookViewId="0">
      <selection activeCell="N8" sqref="N8"/>
    </sheetView>
  </sheetViews>
  <sheetFormatPr defaultRowHeight="15" x14ac:dyDescent="0.25"/>
  <cols>
    <col min="1" max="1" width="10.7109375" bestFit="1" customWidth="1"/>
    <col min="2" max="2" width="14" customWidth="1"/>
  </cols>
  <sheetData>
    <row r="1" spans="1:14" x14ac:dyDescent="0.25">
      <c r="A1" s="1">
        <v>45993</v>
      </c>
      <c r="B1" t="s">
        <v>4</v>
      </c>
      <c r="C1" s="3">
        <v>81.94</v>
      </c>
      <c r="D1">
        <v>3</v>
      </c>
      <c r="F1">
        <f>C1*D1</f>
        <v>245.82</v>
      </c>
    </row>
    <row r="2" spans="1:14" x14ac:dyDescent="0.25">
      <c r="A2" t="s">
        <v>5</v>
      </c>
      <c r="B2" t="s">
        <v>6</v>
      </c>
      <c r="C2" s="3">
        <v>25.02</v>
      </c>
      <c r="D2">
        <v>4</v>
      </c>
      <c r="F2">
        <f t="shared" ref="F2:F27" si="0">C2*D2</f>
        <v>100.08</v>
      </c>
    </row>
    <row r="3" spans="1:14" x14ac:dyDescent="0.25">
      <c r="A3" s="1">
        <v>45991</v>
      </c>
      <c r="B3" t="s">
        <v>7</v>
      </c>
      <c r="C3" s="3">
        <v>50.9</v>
      </c>
      <c r="D3">
        <v>3</v>
      </c>
      <c r="F3">
        <f t="shared" si="0"/>
        <v>152.69999999999999</v>
      </c>
    </row>
    <row r="4" spans="1:14" x14ac:dyDescent="0.25">
      <c r="A4" s="1">
        <v>45991</v>
      </c>
      <c r="B4" t="s">
        <v>8</v>
      </c>
      <c r="C4" s="3">
        <v>10.01</v>
      </c>
      <c r="D4">
        <v>3</v>
      </c>
      <c r="F4">
        <f t="shared" si="0"/>
        <v>30.03</v>
      </c>
    </row>
    <row r="5" spans="1:14" x14ac:dyDescent="0.25">
      <c r="A5" s="1">
        <v>45990</v>
      </c>
      <c r="B5" t="s">
        <v>15</v>
      </c>
      <c r="C5" s="3">
        <v>787.01</v>
      </c>
      <c r="D5">
        <v>3</v>
      </c>
      <c r="F5">
        <f t="shared" si="0"/>
        <v>2361.0299999999997</v>
      </c>
      <c r="N5">
        <v>874.33</v>
      </c>
    </row>
    <row r="6" spans="1:14" x14ac:dyDescent="0.25">
      <c r="A6" s="1">
        <v>45991</v>
      </c>
      <c r="B6" t="s">
        <v>9</v>
      </c>
      <c r="C6" s="3">
        <v>14</v>
      </c>
      <c r="D6">
        <v>1</v>
      </c>
      <c r="F6">
        <f t="shared" si="0"/>
        <v>14</v>
      </c>
      <c r="N6">
        <v>928.79</v>
      </c>
    </row>
    <row r="7" spans="1:14" x14ac:dyDescent="0.25">
      <c r="A7" s="1">
        <v>45990</v>
      </c>
      <c r="B7" t="s">
        <v>7</v>
      </c>
      <c r="C7" s="3">
        <v>98.4</v>
      </c>
      <c r="D7">
        <v>1</v>
      </c>
      <c r="F7">
        <f t="shared" si="0"/>
        <v>98.4</v>
      </c>
      <c r="N7">
        <f>N6-N5</f>
        <v>54.459999999999923</v>
      </c>
    </row>
    <row r="8" spans="1:14" x14ac:dyDescent="0.25">
      <c r="A8" s="1">
        <v>45989</v>
      </c>
      <c r="B8" t="s">
        <v>10</v>
      </c>
      <c r="C8">
        <v>59.9</v>
      </c>
      <c r="D8">
        <v>12</v>
      </c>
      <c r="F8">
        <f t="shared" si="0"/>
        <v>718.8</v>
      </c>
    </row>
    <row r="9" spans="1:14" x14ac:dyDescent="0.25">
      <c r="F9">
        <f t="shared" si="0"/>
        <v>0</v>
      </c>
    </row>
    <row r="10" spans="1:14" x14ac:dyDescent="0.25">
      <c r="A10" s="1">
        <v>45980</v>
      </c>
      <c r="B10" t="s">
        <v>11</v>
      </c>
      <c r="C10" s="3">
        <v>81.069999999999993</v>
      </c>
      <c r="F10">
        <f t="shared" si="0"/>
        <v>0</v>
      </c>
      <c r="H10" s="2" t="s">
        <v>12</v>
      </c>
    </row>
    <row r="11" spans="1:14" x14ac:dyDescent="0.25">
      <c r="A11" s="1">
        <v>45979</v>
      </c>
      <c r="B11" t="s">
        <v>13</v>
      </c>
      <c r="C11" s="3">
        <v>104.74</v>
      </c>
      <c r="F11">
        <f t="shared" si="0"/>
        <v>0</v>
      </c>
      <c r="H11" t="s">
        <v>14</v>
      </c>
    </row>
    <row r="12" spans="1:14" x14ac:dyDescent="0.25">
      <c r="A12" s="1">
        <v>45969</v>
      </c>
      <c r="B12" t="s">
        <v>15</v>
      </c>
      <c r="C12" s="3">
        <v>162.1</v>
      </c>
      <c r="F12">
        <f t="shared" si="0"/>
        <v>0</v>
      </c>
      <c r="H12" t="s">
        <v>16</v>
      </c>
    </row>
    <row r="13" spans="1:14" x14ac:dyDescent="0.25">
      <c r="A13" s="1">
        <v>45966</v>
      </c>
      <c r="B13" t="s">
        <v>11</v>
      </c>
      <c r="C13" s="3">
        <v>72.67</v>
      </c>
      <c r="F13">
        <f t="shared" si="0"/>
        <v>0</v>
      </c>
      <c r="H13" t="s">
        <v>17</v>
      </c>
    </row>
    <row r="14" spans="1:14" x14ac:dyDescent="0.25">
      <c r="A14" s="1">
        <v>45943</v>
      </c>
      <c r="B14" t="s">
        <v>11</v>
      </c>
      <c r="C14" s="3">
        <v>76.16</v>
      </c>
      <c r="F14">
        <f t="shared" si="0"/>
        <v>0</v>
      </c>
      <c r="H14" t="s">
        <v>18</v>
      </c>
    </row>
    <row r="15" spans="1:14" x14ac:dyDescent="0.25">
      <c r="F15">
        <f t="shared" si="0"/>
        <v>0</v>
      </c>
    </row>
    <row r="16" spans="1:14" x14ac:dyDescent="0.25">
      <c r="C16">
        <f>SUM(C1:C15)</f>
        <v>1623.92</v>
      </c>
      <c r="F16">
        <f t="shared" si="0"/>
        <v>0</v>
      </c>
    </row>
    <row r="17" spans="3:6" x14ac:dyDescent="0.25">
      <c r="C17">
        <v>928.79</v>
      </c>
      <c r="F17">
        <f t="shared" si="0"/>
        <v>0</v>
      </c>
    </row>
    <row r="18" spans="3:6" x14ac:dyDescent="0.25">
      <c r="C18">
        <f>SUM(C16:C17)</f>
        <v>2552.71</v>
      </c>
      <c r="F18">
        <f t="shared" si="0"/>
        <v>0</v>
      </c>
    </row>
    <row r="19" spans="3:6" x14ac:dyDescent="0.25">
      <c r="F19">
        <f t="shared" si="0"/>
        <v>0</v>
      </c>
    </row>
    <row r="20" spans="3:6" x14ac:dyDescent="0.25">
      <c r="F20">
        <f t="shared" si="0"/>
        <v>0</v>
      </c>
    </row>
    <row r="21" spans="3:6" x14ac:dyDescent="0.25">
      <c r="F21">
        <f t="shared" si="0"/>
        <v>0</v>
      </c>
    </row>
    <row r="22" spans="3:6" x14ac:dyDescent="0.25">
      <c r="C22">
        <v>4.74</v>
      </c>
      <c r="F22">
        <f t="shared" si="0"/>
        <v>0</v>
      </c>
    </row>
    <row r="23" spans="3:6" x14ac:dyDescent="0.25">
      <c r="F23">
        <f t="shared" si="0"/>
        <v>0</v>
      </c>
    </row>
    <row r="24" spans="3:6" x14ac:dyDescent="0.25">
      <c r="F24">
        <f t="shared" si="0"/>
        <v>0</v>
      </c>
    </row>
    <row r="25" spans="3:6" x14ac:dyDescent="0.25">
      <c r="F25">
        <f t="shared" si="0"/>
        <v>0</v>
      </c>
    </row>
    <row r="26" spans="3:6" x14ac:dyDescent="0.25">
      <c r="F26">
        <f t="shared" si="0"/>
        <v>0</v>
      </c>
    </row>
    <row r="27" spans="3:6" x14ac:dyDescent="0.25">
      <c r="F27">
        <f t="shared" si="0"/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09AD-12E3-4D07-986C-D4AFADEC0299}">
  <dimension ref="A1:L57"/>
  <sheetViews>
    <sheetView tabSelected="1" workbookViewId="0">
      <selection activeCell="B3" sqref="B3:D4"/>
    </sheetView>
  </sheetViews>
  <sheetFormatPr defaultRowHeight="15" x14ac:dyDescent="0.25"/>
  <cols>
    <col min="1" max="1" width="11.7109375" bestFit="1" customWidth="1"/>
    <col min="2" max="2" width="12.28515625" bestFit="1" customWidth="1"/>
    <col min="3" max="3" width="25.28515625" bestFit="1" customWidth="1"/>
    <col min="4" max="4" width="13.7109375" customWidth="1"/>
    <col min="5" max="5" width="13" customWidth="1"/>
    <col min="6" max="6" width="13.5703125" customWidth="1"/>
    <col min="7" max="7" width="14.28515625" customWidth="1"/>
    <col min="8" max="8" width="27.85546875" customWidth="1"/>
    <col min="9" max="9" width="16.28515625" customWidth="1"/>
    <col min="10" max="10" width="28.5703125" customWidth="1"/>
    <col min="11" max="11" width="16.5703125" customWidth="1"/>
    <col min="12" max="12" width="13.140625" customWidth="1"/>
  </cols>
  <sheetData>
    <row r="1" spans="1:12" x14ac:dyDescent="0.25">
      <c r="A1" s="6" t="s">
        <v>119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x14ac:dyDescent="0.25">
      <c r="A2" s="9"/>
      <c r="B2" s="4"/>
      <c r="C2" s="4"/>
      <c r="D2" s="4"/>
      <c r="E2" s="4"/>
      <c r="F2" s="4"/>
      <c r="G2" s="4"/>
      <c r="H2" s="4"/>
      <c r="I2" s="4"/>
      <c r="J2" s="4"/>
      <c r="K2" s="4"/>
      <c r="L2" s="10"/>
    </row>
    <row r="3" spans="1:12" x14ac:dyDescent="0.25">
      <c r="A3" s="9"/>
      <c r="B3" s="11" t="s">
        <v>120</v>
      </c>
      <c r="C3" s="4"/>
      <c r="D3" s="4"/>
      <c r="E3" s="4"/>
      <c r="F3" s="4"/>
      <c r="G3" s="4"/>
      <c r="H3" s="4"/>
      <c r="I3" s="4"/>
      <c r="J3" s="4"/>
      <c r="K3" s="4"/>
      <c r="L3" s="10"/>
    </row>
    <row r="4" spans="1:12" x14ac:dyDescent="0.25">
      <c r="A4" s="9"/>
      <c r="B4" s="11" t="s">
        <v>121</v>
      </c>
      <c r="C4" s="4"/>
      <c r="D4" s="4"/>
      <c r="E4" s="4"/>
      <c r="F4" s="4"/>
      <c r="G4" s="4"/>
      <c r="H4" s="4"/>
      <c r="I4" s="4"/>
      <c r="J4" s="4"/>
      <c r="K4" s="4"/>
      <c r="L4" s="10"/>
    </row>
    <row r="5" spans="1:12" x14ac:dyDescent="0.25">
      <c r="A5" s="9"/>
      <c r="B5" s="4"/>
      <c r="C5" s="4"/>
      <c r="D5" s="4"/>
      <c r="E5" s="4"/>
      <c r="F5" s="4"/>
      <c r="G5" s="4"/>
      <c r="H5" s="4"/>
      <c r="I5" s="4"/>
      <c r="J5" s="4"/>
      <c r="K5" s="4"/>
      <c r="L5" s="10"/>
    </row>
    <row r="6" spans="1:12" x14ac:dyDescent="0.25">
      <c r="A6" s="9"/>
      <c r="B6" s="4"/>
      <c r="C6" s="4"/>
      <c r="D6" s="4"/>
      <c r="E6" s="4"/>
      <c r="F6" s="4"/>
      <c r="G6" s="4"/>
      <c r="H6" s="4"/>
      <c r="I6" s="4"/>
      <c r="J6" s="4"/>
      <c r="K6" s="4"/>
      <c r="L6" s="10"/>
    </row>
    <row r="7" spans="1:12" x14ac:dyDescent="0.25">
      <c r="A7" s="9" t="s">
        <v>113</v>
      </c>
      <c r="B7" s="4"/>
      <c r="C7" s="4"/>
      <c r="D7" s="4"/>
      <c r="E7" s="4"/>
      <c r="F7" s="4"/>
      <c r="G7" s="4"/>
      <c r="H7" s="4"/>
      <c r="I7" s="4"/>
      <c r="J7" s="4"/>
      <c r="K7" s="4"/>
      <c r="L7" s="10"/>
    </row>
    <row r="8" spans="1:12" x14ac:dyDescent="0.25">
      <c r="A8" s="17" t="s">
        <v>70</v>
      </c>
      <c r="B8" s="18" t="s">
        <v>71</v>
      </c>
      <c r="C8" s="18" t="s">
        <v>72</v>
      </c>
      <c r="D8" s="18" t="s">
        <v>73</v>
      </c>
      <c r="E8" s="18" t="s">
        <v>74</v>
      </c>
      <c r="F8" s="18" t="s">
        <v>75</v>
      </c>
      <c r="G8" s="18" t="s">
        <v>76</v>
      </c>
      <c r="H8" s="18" t="s">
        <v>77</v>
      </c>
      <c r="I8" s="18" t="s">
        <v>78</v>
      </c>
      <c r="J8" s="18" t="s">
        <v>79</v>
      </c>
      <c r="K8" s="18" t="s">
        <v>80</v>
      </c>
      <c r="L8" s="19" t="s">
        <v>81</v>
      </c>
    </row>
    <row r="9" spans="1:12" x14ac:dyDescent="0.25">
      <c r="A9" s="20">
        <v>6</v>
      </c>
      <c r="B9" s="21">
        <v>2</v>
      </c>
      <c r="C9" s="21" t="s">
        <v>19</v>
      </c>
      <c r="D9" s="21">
        <v>0</v>
      </c>
      <c r="E9" s="21" t="s">
        <v>20</v>
      </c>
      <c r="F9" s="21" t="s">
        <v>21</v>
      </c>
      <c r="G9" s="21">
        <v>7</v>
      </c>
      <c r="H9" s="21">
        <v>401708</v>
      </c>
      <c r="I9" s="21" t="s">
        <v>22</v>
      </c>
      <c r="J9" s="21" t="s">
        <v>23</v>
      </c>
      <c r="K9" s="21">
        <v>2008</v>
      </c>
      <c r="L9" s="22">
        <v>2</v>
      </c>
    </row>
    <row r="10" spans="1:12" x14ac:dyDescent="0.25">
      <c r="A10" s="12">
        <v>6</v>
      </c>
      <c r="B10" s="5">
        <v>2</v>
      </c>
      <c r="C10" s="5" t="s">
        <v>24</v>
      </c>
      <c r="D10" s="5">
        <v>0</v>
      </c>
      <c r="E10" s="5" t="s">
        <v>20</v>
      </c>
      <c r="F10" s="5" t="s">
        <v>25</v>
      </c>
      <c r="G10" s="5">
        <v>7</v>
      </c>
      <c r="H10" s="5">
        <v>238640</v>
      </c>
      <c r="I10" s="5" t="s">
        <v>22</v>
      </c>
      <c r="J10" s="5" t="s">
        <v>26</v>
      </c>
      <c r="K10" s="5">
        <v>2025</v>
      </c>
      <c r="L10" s="13">
        <v>1</v>
      </c>
    </row>
    <row r="11" spans="1:12" x14ac:dyDescent="0.25">
      <c r="A11" s="12">
        <v>6</v>
      </c>
      <c r="B11" s="5">
        <v>6</v>
      </c>
      <c r="C11" s="5" t="s">
        <v>27</v>
      </c>
      <c r="D11" s="5">
        <v>0</v>
      </c>
      <c r="E11" s="5" t="s">
        <v>20</v>
      </c>
      <c r="F11" s="5" t="s">
        <v>28</v>
      </c>
      <c r="G11" s="5">
        <v>7</v>
      </c>
      <c r="H11" s="5">
        <v>238640</v>
      </c>
      <c r="I11" s="5" t="s">
        <v>22</v>
      </c>
      <c r="J11" s="5" t="s">
        <v>29</v>
      </c>
      <c r="K11" s="5">
        <v>2025</v>
      </c>
      <c r="L11" s="13">
        <v>1</v>
      </c>
    </row>
    <row r="12" spans="1:12" x14ac:dyDescent="0.25">
      <c r="A12" s="12">
        <v>6</v>
      </c>
      <c r="B12" s="5">
        <v>7</v>
      </c>
      <c r="C12" s="5" t="s">
        <v>30</v>
      </c>
      <c r="D12" s="5">
        <v>0</v>
      </c>
      <c r="E12" s="5" t="s">
        <v>20</v>
      </c>
      <c r="F12" s="5" t="s">
        <v>31</v>
      </c>
      <c r="G12" s="5">
        <v>7</v>
      </c>
      <c r="H12" s="5">
        <v>238640</v>
      </c>
      <c r="I12" s="5" t="s">
        <v>22</v>
      </c>
      <c r="J12" s="5" t="s">
        <v>32</v>
      </c>
      <c r="K12" s="5">
        <v>2025</v>
      </c>
      <c r="L12" s="13">
        <v>1</v>
      </c>
    </row>
    <row r="13" spans="1:12" x14ac:dyDescent="0.25">
      <c r="A13" s="12">
        <v>6</v>
      </c>
      <c r="B13" s="5">
        <v>8</v>
      </c>
      <c r="C13" s="5" t="s">
        <v>33</v>
      </c>
      <c r="D13" s="5">
        <v>0</v>
      </c>
      <c r="E13" s="5" t="s">
        <v>20</v>
      </c>
      <c r="F13" s="5" t="s">
        <v>34</v>
      </c>
      <c r="G13" s="5">
        <v>7</v>
      </c>
      <c r="H13" s="5">
        <v>238640</v>
      </c>
      <c r="I13" s="5" t="s">
        <v>22</v>
      </c>
      <c r="J13" s="5" t="s">
        <v>35</v>
      </c>
      <c r="K13" s="5">
        <v>2025</v>
      </c>
      <c r="L13" s="13">
        <v>1</v>
      </c>
    </row>
    <row r="14" spans="1:12" x14ac:dyDescent="0.25">
      <c r="A14" s="12">
        <v>6</v>
      </c>
      <c r="B14" s="5">
        <v>9</v>
      </c>
      <c r="C14" s="5" t="s">
        <v>36</v>
      </c>
      <c r="D14" s="5">
        <v>0</v>
      </c>
      <c r="E14" s="5" t="s">
        <v>20</v>
      </c>
      <c r="F14" s="5" t="s">
        <v>34</v>
      </c>
      <c r="G14" s="5">
        <v>7</v>
      </c>
      <c r="H14" s="5">
        <v>238640</v>
      </c>
      <c r="I14" s="5" t="s">
        <v>22</v>
      </c>
      <c r="J14" s="5" t="s">
        <v>37</v>
      </c>
      <c r="K14" s="5">
        <v>2025</v>
      </c>
      <c r="L14" s="13">
        <v>1</v>
      </c>
    </row>
    <row r="15" spans="1:12" x14ac:dyDescent="0.25">
      <c r="A15" s="12">
        <v>6</v>
      </c>
      <c r="B15" s="5">
        <v>10</v>
      </c>
      <c r="C15" s="5" t="s">
        <v>38</v>
      </c>
      <c r="D15" s="5">
        <v>0</v>
      </c>
      <c r="E15" s="5" t="s">
        <v>20</v>
      </c>
      <c r="F15" s="5" t="s">
        <v>39</v>
      </c>
      <c r="G15" s="5">
        <v>7</v>
      </c>
      <c r="H15" s="5">
        <v>238640</v>
      </c>
      <c r="I15" s="5" t="s">
        <v>22</v>
      </c>
      <c r="J15" s="5" t="s">
        <v>40</v>
      </c>
      <c r="K15" s="5">
        <v>2025</v>
      </c>
      <c r="L15" s="13">
        <v>1</v>
      </c>
    </row>
    <row r="16" spans="1:12" x14ac:dyDescent="0.25">
      <c r="A16" s="20">
        <v>6</v>
      </c>
      <c r="B16" s="21">
        <v>11</v>
      </c>
      <c r="C16" s="21" t="s">
        <v>41</v>
      </c>
      <c r="D16" s="21">
        <v>0</v>
      </c>
      <c r="E16" s="21" t="s">
        <v>20</v>
      </c>
      <c r="F16" s="21" t="s">
        <v>42</v>
      </c>
      <c r="G16" s="21">
        <v>7</v>
      </c>
      <c r="H16" s="21">
        <v>401708</v>
      </c>
      <c r="I16" s="21" t="s">
        <v>22</v>
      </c>
      <c r="J16" s="21" t="s">
        <v>43</v>
      </c>
      <c r="K16" s="21">
        <v>2023</v>
      </c>
      <c r="L16" s="22">
        <v>1</v>
      </c>
    </row>
    <row r="17" spans="1:12" x14ac:dyDescent="0.25">
      <c r="A17" s="12">
        <v>6</v>
      </c>
      <c r="B17" s="5">
        <v>11</v>
      </c>
      <c r="C17" s="5" t="s">
        <v>44</v>
      </c>
      <c r="D17" s="5">
        <v>0</v>
      </c>
      <c r="E17" s="5" t="s">
        <v>20</v>
      </c>
      <c r="F17" s="5" t="s">
        <v>34</v>
      </c>
      <c r="G17" s="5">
        <v>7</v>
      </c>
      <c r="H17" s="5">
        <v>238640</v>
      </c>
      <c r="I17" s="5" t="s">
        <v>22</v>
      </c>
      <c r="J17" s="5" t="s">
        <v>45</v>
      </c>
      <c r="K17" s="5">
        <v>2025</v>
      </c>
      <c r="L17" s="13">
        <v>1</v>
      </c>
    </row>
    <row r="18" spans="1:12" x14ac:dyDescent="0.25">
      <c r="A18" s="12">
        <v>6</v>
      </c>
      <c r="B18" s="5">
        <v>12</v>
      </c>
      <c r="C18" s="5" t="s">
        <v>46</v>
      </c>
      <c r="D18" s="5">
        <v>0</v>
      </c>
      <c r="E18" s="5" t="s">
        <v>20</v>
      </c>
      <c r="F18" s="5" t="s">
        <v>39</v>
      </c>
      <c r="G18" s="5">
        <v>7</v>
      </c>
      <c r="H18" s="5">
        <v>238640</v>
      </c>
      <c r="I18" s="5" t="s">
        <v>22</v>
      </c>
      <c r="J18" s="5" t="s">
        <v>47</v>
      </c>
      <c r="K18" s="5">
        <v>2025</v>
      </c>
      <c r="L18" s="13">
        <v>1</v>
      </c>
    </row>
    <row r="19" spans="1:12" x14ac:dyDescent="0.25">
      <c r="A19" s="12">
        <v>6</v>
      </c>
      <c r="B19" s="5">
        <v>13</v>
      </c>
      <c r="C19" s="5" t="s">
        <v>48</v>
      </c>
      <c r="D19" s="5">
        <v>0</v>
      </c>
      <c r="E19" s="5" t="s">
        <v>20</v>
      </c>
      <c r="F19" s="5" t="s">
        <v>49</v>
      </c>
      <c r="G19" s="5">
        <v>7</v>
      </c>
      <c r="H19" s="5">
        <v>238640</v>
      </c>
      <c r="I19" s="5" t="s">
        <v>22</v>
      </c>
      <c r="J19" s="5" t="s">
        <v>50</v>
      </c>
      <c r="K19" s="5">
        <v>2025</v>
      </c>
      <c r="L19" s="13">
        <v>1</v>
      </c>
    </row>
    <row r="20" spans="1:12" x14ac:dyDescent="0.25">
      <c r="A20" s="12">
        <v>6</v>
      </c>
      <c r="B20" s="5">
        <v>14</v>
      </c>
      <c r="C20" s="5" t="s">
        <v>51</v>
      </c>
      <c r="D20" s="5">
        <v>0</v>
      </c>
      <c r="E20" s="5" t="s">
        <v>20</v>
      </c>
      <c r="F20" s="5" t="s">
        <v>39</v>
      </c>
      <c r="G20" s="5">
        <v>7</v>
      </c>
      <c r="H20" s="5">
        <v>238640</v>
      </c>
      <c r="I20" s="5" t="s">
        <v>22</v>
      </c>
      <c r="J20" s="5" t="s">
        <v>52</v>
      </c>
      <c r="K20" s="5">
        <v>2025</v>
      </c>
      <c r="L20" s="13">
        <v>1</v>
      </c>
    </row>
    <row r="21" spans="1:12" x14ac:dyDescent="0.25">
      <c r="A21" s="12">
        <v>6</v>
      </c>
      <c r="B21" s="5">
        <v>15</v>
      </c>
      <c r="C21" s="5" t="s">
        <v>53</v>
      </c>
      <c r="D21" s="5">
        <v>0</v>
      </c>
      <c r="E21" s="5" t="s">
        <v>20</v>
      </c>
      <c r="F21" s="5" t="s">
        <v>39</v>
      </c>
      <c r="G21" s="5">
        <v>7</v>
      </c>
      <c r="H21" s="5">
        <v>238640</v>
      </c>
      <c r="I21" s="5" t="s">
        <v>22</v>
      </c>
      <c r="J21" s="5" t="s">
        <v>54</v>
      </c>
      <c r="K21" s="5">
        <v>2025</v>
      </c>
      <c r="L21" s="13">
        <v>1</v>
      </c>
    </row>
    <row r="22" spans="1:12" x14ac:dyDescent="0.25">
      <c r="A22" s="12">
        <v>6</v>
      </c>
      <c r="B22" s="5">
        <v>16</v>
      </c>
      <c r="C22" s="5" t="s">
        <v>55</v>
      </c>
      <c r="D22" s="5">
        <v>0</v>
      </c>
      <c r="E22" s="5" t="s">
        <v>20</v>
      </c>
      <c r="F22" s="5" t="s">
        <v>56</v>
      </c>
      <c r="G22" s="5">
        <v>7</v>
      </c>
      <c r="H22" s="5">
        <v>238640</v>
      </c>
      <c r="I22" s="5" t="s">
        <v>22</v>
      </c>
      <c r="J22" s="5" t="s">
        <v>57</v>
      </c>
      <c r="K22" s="5">
        <v>2025</v>
      </c>
      <c r="L22" s="13">
        <v>1</v>
      </c>
    </row>
    <row r="23" spans="1:12" x14ac:dyDescent="0.25">
      <c r="A23" s="12">
        <v>6</v>
      </c>
      <c r="B23" s="5">
        <v>17</v>
      </c>
      <c r="C23" s="5" t="s">
        <v>58</v>
      </c>
      <c r="D23" s="5">
        <v>0</v>
      </c>
      <c r="E23" s="5" t="s">
        <v>20</v>
      </c>
      <c r="F23" s="5" t="s">
        <v>39</v>
      </c>
      <c r="G23" s="5">
        <v>7</v>
      </c>
      <c r="H23" s="5">
        <v>238640</v>
      </c>
      <c r="I23" s="5" t="s">
        <v>22</v>
      </c>
      <c r="J23" s="5" t="s">
        <v>59</v>
      </c>
      <c r="K23" s="5">
        <v>2025</v>
      </c>
      <c r="L23" s="13">
        <v>1</v>
      </c>
    </row>
    <row r="24" spans="1:12" x14ac:dyDescent="0.25">
      <c r="A24" s="12">
        <v>6</v>
      </c>
      <c r="B24" s="5">
        <v>18</v>
      </c>
      <c r="C24" s="5" t="s">
        <v>60</v>
      </c>
      <c r="D24" s="5">
        <v>0</v>
      </c>
      <c r="E24" s="5" t="s">
        <v>20</v>
      </c>
      <c r="F24" s="5" t="s">
        <v>61</v>
      </c>
      <c r="G24" s="5">
        <v>7</v>
      </c>
      <c r="H24" s="5">
        <v>238640</v>
      </c>
      <c r="I24" s="5" t="s">
        <v>22</v>
      </c>
      <c r="J24" s="5" t="s">
        <v>62</v>
      </c>
      <c r="K24" s="5">
        <v>2025</v>
      </c>
      <c r="L24" s="13">
        <v>1</v>
      </c>
    </row>
    <row r="25" spans="1:12" x14ac:dyDescent="0.25">
      <c r="A25" s="12">
        <v>6</v>
      </c>
      <c r="B25" s="5">
        <v>19</v>
      </c>
      <c r="C25" s="5" t="s">
        <v>63</v>
      </c>
      <c r="D25" s="5">
        <v>0</v>
      </c>
      <c r="E25" s="5" t="s">
        <v>20</v>
      </c>
      <c r="F25" s="5" t="s">
        <v>61</v>
      </c>
      <c r="G25" s="5">
        <v>7</v>
      </c>
      <c r="H25" s="5">
        <v>238640</v>
      </c>
      <c r="I25" s="5" t="s">
        <v>22</v>
      </c>
      <c r="J25" s="5" t="s">
        <v>64</v>
      </c>
      <c r="K25" s="5">
        <v>2025</v>
      </c>
      <c r="L25" s="13">
        <v>1</v>
      </c>
    </row>
    <row r="26" spans="1:12" x14ac:dyDescent="0.25">
      <c r="A26" s="12">
        <v>6</v>
      </c>
      <c r="B26" s="5">
        <v>19</v>
      </c>
      <c r="C26" s="5" t="s">
        <v>65</v>
      </c>
      <c r="D26" s="5">
        <v>0</v>
      </c>
      <c r="E26" s="5" t="s">
        <v>20</v>
      </c>
      <c r="F26" s="5" t="s">
        <v>66</v>
      </c>
      <c r="G26" s="5">
        <v>7</v>
      </c>
      <c r="H26" s="5">
        <v>238640</v>
      </c>
      <c r="I26" s="5" t="s">
        <v>22</v>
      </c>
      <c r="J26" s="5" t="s">
        <v>67</v>
      </c>
      <c r="K26" s="5">
        <v>2025</v>
      </c>
      <c r="L26" s="13">
        <v>1</v>
      </c>
    </row>
    <row r="27" spans="1:12" ht="15.75" thickBot="1" x14ac:dyDescent="0.3">
      <c r="A27" s="14">
        <v>6</v>
      </c>
      <c r="B27" s="15">
        <v>20</v>
      </c>
      <c r="C27" s="15" t="s">
        <v>68</v>
      </c>
      <c r="D27" s="15">
        <v>0</v>
      </c>
      <c r="E27" s="15" t="s">
        <v>20</v>
      </c>
      <c r="F27" s="15" t="s">
        <v>61</v>
      </c>
      <c r="G27" s="15">
        <v>7</v>
      </c>
      <c r="H27" s="15">
        <v>238640</v>
      </c>
      <c r="I27" s="15" t="s">
        <v>22</v>
      </c>
      <c r="J27" s="15" t="s">
        <v>69</v>
      </c>
      <c r="K27" s="15">
        <v>2025</v>
      </c>
      <c r="L27" s="16">
        <v>1</v>
      </c>
    </row>
    <row r="29" spans="1:12" ht="15.75" thickBot="1" x14ac:dyDescent="0.3"/>
    <row r="30" spans="1:12" x14ac:dyDescent="0.25">
      <c r="A30" s="6" t="s">
        <v>114</v>
      </c>
      <c r="B30" s="7"/>
      <c r="C30" s="7"/>
      <c r="D30" s="7"/>
      <c r="E30" s="7"/>
      <c r="F30" s="7"/>
      <c r="G30" s="7"/>
      <c r="H30" s="7"/>
      <c r="I30" s="7"/>
      <c r="J30" s="8"/>
    </row>
    <row r="31" spans="1:12" x14ac:dyDescent="0.25">
      <c r="A31" s="9"/>
      <c r="B31" s="11" t="s">
        <v>115</v>
      </c>
      <c r="C31" s="4"/>
      <c r="D31" s="4"/>
      <c r="E31" s="4"/>
      <c r="F31" s="4"/>
      <c r="G31" s="4"/>
      <c r="H31" s="4"/>
      <c r="I31" s="4"/>
      <c r="J31" s="10"/>
    </row>
    <row r="32" spans="1:12" x14ac:dyDescent="0.25">
      <c r="A32" s="9"/>
      <c r="B32" s="11" t="s">
        <v>116</v>
      </c>
      <c r="C32" s="4"/>
      <c r="D32" s="4"/>
      <c r="E32" s="4"/>
      <c r="F32" s="4"/>
      <c r="G32" s="4"/>
      <c r="H32" s="4"/>
      <c r="I32" s="4"/>
      <c r="J32" s="10"/>
    </row>
    <row r="33" spans="1:10" x14ac:dyDescent="0.25">
      <c r="A33" s="9"/>
      <c r="B33" s="11" t="s">
        <v>117</v>
      </c>
      <c r="C33" s="4"/>
      <c r="D33" s="4"/>
      <c r="E33" s="4"/>
      <c r="F33" s="4"/>
      <c r="G33" s="4"/>
      <c r="H33" s="4"/>
      <c r="I33" s="4"/>
      <c r="J33" s="10"/>
    </row>
    <row r="34" spans="1:10" x14ac:dyDescent="0.25">
      <c r="A34" s="9"/>
      <c r="B34" s="11" t="s">
        <v>118</v>
      </c>
      <c r="C34" s="4"/>
      <c r="D34" s="4"/>
      <c r="E34" s="4"/>
      <c r="F34" s="4"/>
      <c r="G34" s="4"/>
      <c r="H34" s="4"/>
      <c r="I34" s="4"/>
      <c r="J34" s="10"/>
    </row>
    <row r="35" spans="1:10" x14ac:dyDescent="0.25">
      <c r="A35" s="9"/>
      <c r="B35" s="4"/>
      <c r="C35" s="4"/>
      <c r="D35" s="4"/>
      <c r="E35" s="4"/>
      <c r="F35" s="4"/>
      <c r="G35" s="4"/>
      <c r="H35" s="4"/>
      <c r="I35" s="4"/>
      <c r="J35" s="10"/>
    </row>
    <row r="36" spans="1:10" x14ac:dyDescent="0.25">
      <c r="A36" s="12" t="s">
        <v>70</v>
      </c>
      <c r="B36" s="5" t="s">
        <v>71</v>
      </c>
      <c r="C36" s="5" t="s">
        <v>107</v>
      </c>
      <c r="D36" s="5" t="s">
        <v>108</v>
      </c>
      <c r="E36" s="5" t="s">
        <v>109</v>
      </c>
      <c r="F36" s="5" t="s">
        <v>76</v>
      </c>
      <c r="G36" s="5" t="s">
        <v>77</v>
      </c>
      <c r="H36" s="5" t="s">
        <v>110</v>
      </c>
      <c r="I36" s="5" t="s">
        <v>111</v>
      </c>
      <c r="J36" s="13" t="s">
        <v>112</v>
      </c>
    </row>
    <row r="37" spans="1:10" x14ac:dyDescent="0.25">
      <c r="A37" s="12">
        <v>6</v>
      </c>
      <c r="B37" s="5">
        <v>2</v>
      </c>
      <c r="C37" s="5">
        <v>0</v>
      </c>
      <c r="D37" s="5" t="s">
        <v>20</v>
      </c>
      <c r="E37" s="5" t="s">
        <v>103</v>
      </c>
      <c r="F37" s="5">
        <v>7</v>
      </c>
      <c r="G37" s="5">
        <v>238640</v>
      </c>
      <c r="H37" s="5" t="s">
        <v>106</v>
      </c>
      <c r="I37" s="5">
        <v>2025</v>
      </c>
      <c r="J37" s="13">
        <v>1</v>
      </c>
    </row>
    <row r="38" spans="1:10" x14ac:dyDescent="0.25">
      <c r="A38" s="12">
        <v>6</v>
      </c>
      <c r="B38" s="5">
        <v>6</v>
      </c>
      <c r="C38" s="5">
        <v>0</v>
      </c>
      <c r="D38" s="5" t="s">
        <v>20</v>
      </c>
      <c r="E38" s="5" t="s">
        <v>103</v>
      </c>
      <c r="F38" s="5">
        <v>7</v>
      </c>
      <c r="G38" s="5">
        <v>238640</v>
      </c>
      <c r="H38" s="5" t="s">
        <v>105</v>
      </c>
      <c r="I38" s="5">
        <v>2025</v>
      </c>
      <c r="J38" s="13">
        <v>1</v>
      </c>
    </row>
    <row r="39" spans="1:10" x14ac:dyDescent="0.25">
      <c r="A39" s="12">
        <v>6</v>
      </c>
      <c r="B39" s="5">
        <v>7</v>
      </c>
      <c r="C39" s="5">
        <v>0</v>
      </c>
      <c r="D39" s="5" t="s">
        <v>20</v>
      </c>
      <c r="E39" s="5" t="s">
        <v>103</v>
      </c>
      <c r="F39" s="5">
        <v>7</v>
      </c>
      <c r="G39" s="5">
        <v>238640</v>
      </c>
      <c r="H39" s="5" t="s">
        <v>104</v>
      </c>
      <c r="I39" s="5">
        <v>2025</v>
      </c>
      <c r="J39" s="13">
        <v>1</v>
      </c>
    </row>
    <row r="40" spans="1:10" x14ac:dyDescent="0.25">
      <c r="A40" s="12">
        <v>6</v>
      </c>
      <c r="B40" s="5">
        <v>8</v>
      </c>
      <c r="C40" s="5">
        <v>0</v>
      </c>
      <c r="D40" s="5" t="s">
        <v>20</v>
      </c>
      <c r="E40" s="5" t="s">
        <v>98</v>
      </c>
      <c r="F40" s="5">
        <v>7</v>
      </c>
      <c r="G40" s="5">
        <v>238640</v>
      </c>
      <c r="H40" s="5" t="s">
        <v>102</v>
      </c>
      <c r="I40" s="5">
        <v>2025</v>
      </c>
      <c r="J40" s="13">
        <v>1</v>
      </c>
    </row>
    <row r="41" spans="1:10" x14ac:dyDescent="0.25">
      <c r="A41" s="12">
        <v>6</v>
      </c>
      <c r="B41" s="5">
        <v>9</v>
      </c>
      <c r="C41" s="5">
        <v>0</v>
      </c>
      <c r="D41" s="5" t="s">
        <v>20</v>
      </c>
      <c r="E41" s="5" t="s">
        <v>98</v>
      </c>
      <c r="F41" s="5">
        <v>7</v>
      </c>
      <c r="G41" s="5">
        <v>238640</v>
      </c>
      <c r="H41" s="5" t="s">
        <v>101</v>
      </c>
      <c r="I41" s="5">
        <v>2025</v>
      </c>
      <c r="J41" s="13">
        <v>1</v>
      </c>
    </row>
    <row r="42" spans="1:10" x14ac:dyDescent="0.25">
      <c r="A42" s="12">
        <v>6</v>
      </c>
      <c r="B42" s="5">
        <v>10</v>
      </c>
      <c r="C42" s="5">
        <v>0</v>
      </c>
      <c r="D42" s="5" t="s">
        <v>20</v>
      </c>
      <c r="E42" s="5" t="s">
        <v>89</v>
      </c>
      <c r="F42" s="5">
        <v>7</v>
      </c>
      <c r="G42" s="5">
        <v>238640</v>
      </c>
      <c r="H42" s="5" t="s">
        <v>100</v>
      </c>
      <c r="I42" s="5">
        <v>2025</v>
      </c>
      <c r="J42" s="13">
        <v>1</v>
      </c>
    </row>
    <row r="43" spans="1:10" x14ac:dyDescent="0.25">
      <c r="A43" s="12">
        <v>6</v>
      </c>
      <c r="B43" s="5">
        <v>11</v>
      </c>
      <c r="C43" s="5">
        <v>0</v>
      </c>
      <c r="D43" s="5" t="s">
        <v>20</v>
      </c>
      <c r="E43" s="5" t="s">
        <v>98</v>
      </c>
      <c r="F43" s="5">
        <v>7</v>
      </c>
      <c r="G43" s="5">
        <v>238640</v>
      </c>
      <c r="H43" s="5" t="s">
        <v>99</v>
      </c>
      <c r="I43" s="5">
        <v>2025</v>
      </c>
      <c r="J43" s="13">
        <v>1</v>
      </c>
    </row>
    <row r="44" spans="1:10" x14ac:dyDescent="0.25">
      <c r="A44" s="12">
        <v>6</v>
      </c>
      <c r="B44" s="5">
        <v>12</v>
      </c>
      <c r="C44" s="5">
        <v>0</v>
      </c>
      <c r="D44" s="5" t="s">
        <v>20</v>
      </c>
      <c r="E44" s="5" t="s">
        <v>89</v>
      </c>
      <c r="F44" s="5">
        <v>7</v>
      </c>
      <c r="G44" s="5">
        <v>238640</v>
      </c>
      <c r="H44" s="5" t="s">
        <v>97</v>
      </c>
      <c r="I44" s="5">
        <v>2025</v>
      </c>
      <c r="J44" s="13">
        <v>1</v>
      </c>
    </row>
    <row r="45" spans="1:10" x14ac:dyDescent="0.25">
      <c r="A45" s="12">
        <v>6</v>
      </c>
      <c r="B45" s="5">
        <v>13</v>
      </c>
      <c r="C45" s="5">
        <v>0</v>
      </c>
      <c r="D45" s="5" t="s">
        <v>20</v>
      </c>
      <c r="E45" s="5" t="s">
        <v>95</v>
      </c>
      <c r="F45" s="5">
        <v>7</v>
      </c>
      <c r="G45" s="5">
        <v>238640</v>
      </c>
      <c r="H45" s="5" t="s">
        <v>96</v>
      </c>
      <c r="I45" s="5">
        <v>2025</v>
      </c>
      <c r="J45" s="13">
        <v>1</v>
      </c>
    </row>
    <row r="46" spans="1:10" x14ac:dyDescent="0.25">
      <c r="A46" s="12">
        <v>6</v>
      </c>
      <c r="B46" s="5">
        <v>14</v>
      </c>
      <c r="C46" s="5">
        <v>0</v>
      </c>
      <c r="D46" s="5" t="s">
        <v>20</v>
      </c>
      <c r="E46" s="5" t="s">
        <v>89</v>
      </c>
      <c r="F46" s="5">
        <v>7</v>
      </c>
      <c r="G46" s="5">
        <v>238640</v>
      </c>
      <c r="H46" s="5" t="s">
        <v>94</v>
      </c>
      <c r="I46" s="5">
        <v>2025</v>
      </c>
      <c r="J46" s="13">
        <v>1</v>
      </c>
    </row>
    <row r="47" spans="1:10" x14ac:dyDescent="0.25">
      <c r="A47" s="12">
        <v>6</v>
      </c>
      <c r="B47" s="5">
        <v>15</v>
      </c>
      <c r="C47" s="5">
        <v>0</v>
      </c>
      <c r="D47" s="5" t="s">
        <v>20</v>
      </c>
      <c r="E47" s="5" t="s">
        <v>89</v>
      </c>
      <c r="F47" s="5">
        <v>7</v>
      </c>
      <c r="G47" s="5">
        <v>238640</v>
      </c>
      <c r="H47" s="5" t="s">
        <v>93</v>
      </c>
      <c r="I47" s="5">
        <v>2025</v>
      </c>
      <c r="J47" s="13">
        <v>1</v>
      </c>
    </row>
    <row r="48" spans="1:10" x14ac:dyDescent="0.25">
      <c r="A48" s="12">
        <v>6</v>
      </c>
      <c r="B48" s="5">
        <v>16</v>
      </c>
      <c r="C48" s="5">
        <v>0</v>
      </c>
      <c r="D48" s="5" t="s">
        <v>20</v>
      </c>
      <c r="E48" s="5" t="s">
        <v>91</v>
      </c>
      <c r="F48" s="5">
        <v>7</v>
      </c>
      <c r="G48" s="5">
        <v>238640</v>
      </c>
      <c r="H48" s="5" t="s">
        <v>92</v>
      </c>
      <c r="I48" s="5">
        <v>2025</v>
      </c>
      <c r="J48" s="13">
        <v>1</v>
      </c>
    </row>
    <row r="49" spans="1:10" x14ac:dyDescent="0.25">
      <c r="A49" s="12">
        <v>6</v>
      </c>
      <c r="B49" s="5">
        <v>17</v>
      </c>
      <c r="C49" s="5">
        <v>0</v>
      </c>
      <c r="D49" s="5" t="s">
        <v>20</v>
      </c>
      <c r="E49" s="5" t="s">
        <v>89</v>
      </c>
      <c r="F49" s="5">
        <v>7</v>
      </c>
      <c r="G49" s="5">
        <v>238640</v>
      </c>
      <c r="H49" s="5" t="s">
        <v>90</v>
      </c>
      <c r="I49" s="5">
        <v>2025</v>
      </c>
      <c r="J49" s="13">
        <v>1</v>
      </c>
    </row>
    <row r="50" spans="1:10" x14ac:dyDescent="0.25">
      <c r="A50" s="12">
        <v>6</v>
      </c>
      <c r="B50" s="5">
        <v>18</v>
      </c>
      <c r="C50" s="5">
        <v>0</v>
      </c>
      <c r="D50" s="5" t="s">
        <v>20</v>
      </c>
      <c r="E50" s="5" t="s">
        <v>66</v>
      </c>
      <c r="F50" s="5">
        <v>7</v>
      </c>
      <c r="G50" s="5">
        <v>238640</v>
      </c>
      <c r="H50" s="5" t="s">
        <v>88</v>
      </c>
      <c r="I50" s="5">
        <v>2025</v>
      </c>
      <c r="J50" s="13">
        <v>1</v>
      </c>
    </row>
    <row r="51" spans="1:10" x14ac:dyDescent="0.25">
      <c r="A51" s="12">
        <v>6</v>
      </c>
      <c r="B51" s="5">
        <v>19</v>
      </c>
      <c r="C51" s="5">
        <v>0</v>
      </c>
      <c r="D51" s="5" t="s">
        <v>20</v>
      </c>
      <c r="E51" s="5" t="s">
        <v>66</v>
      </c>
      <c r="F51" s="5">
        <v>7</v>
      </c>
      <c r="G51" s="5">
        <v>238640</v>
      </c>
      <c r="H51" s="5" t="s">
        <v>87</v>
      </c>
      <c r="I51" s="5">
        <v>2025</v>
      </c>
      <c r="J51" s="13">
        <v>1</v>
      </c>
    </row>
    <row r="52" spans="1:10" x14ac:dyDescent="0.25">
      <c r="A52" s="12">
        <v>6</v>
      </c>
      <c r="B52" s="5">
        <v>20</v>
      </c>
      <c r="C52" s="5">
        <v>0</v>
      </c>
      <c r="D52" s="5" t="s">
        <v>20</v>
      </c>
      <c r="E52" s="5" t="s">
        <v>66</v>
      </c>
      <c r="F52" s="5">
        <v>7</v>
      </c>
      <c r="G52" s="5">
        <v>238640</v>
      </c>
      <c r="H52" s="5" t="s">
        <v>86</v>
      </c>
      <c r="I52" s="5">
        <v>2025</v>
      </c>
      <c r="J52" s="13">
        <v>1</v>
      </c>
    </row>
    <row r="53" spans="1:10" x14ac:dyDescent="0.25">
      <c r="A53" s="12">
        <v>6</v>
      </c>
      <c r="B53" s="5">
        <v>29</v>
      </c>
      <c r="C53" s="5">
        <v>0</v>
      </c>
      <c r="D53" s="5" t="s">
        <v>20</v>
      </c>
      <c r="E53" s="5" t="s">
        <v>84</v>
      </c>
      <c r="F53" s="5">
        <v>1</v>
      </c>
      <c r="G53" s="5">
        <v>888888</v>
      </c>
      <c r="H53" s="5" t="s">
        <v>85</v>
      </c>
      <c r="I53" s="5">
        <v>2025</v>
      </c>
      <c r="J53" s="13">
        <v>1</v>
      </c>
    </row>
    <row r="54" spans="1:10" ht="15.75" thickBot="1" x14ac:dyDescent="0.3">
      <c r="A54" s="14">
        <v>6</v>
      </c>
      <c r="B54" s="15">
        <v>30</v>
      </c>
      <c r="C54" s="15">
        <v>0</v>
      </c>
      <c r="D54" s="15" t="s">
        <v>20</v>
      </c>
      <c r="E54" s="15" t="s">
        <v>82</v>
      </c>
      <c r="F54" s="15">
        <v>1</v>
      </c>
      <c r="G54" s="15">
        <v>888888</v>
      </c>
      <c r="H54" s="15" t="s">
        <v>83</v>
      </c>
      <c r="I54" s="15">
        <v>2025</v>
      </c>
      <c r="J54" s="16">
        <v>1</v>
      </c>
    </row>
    <row r="55" spans="1:10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x14ac:dyDescent="0.25">
      <c r="A56">
        <v>6</v>
      </c>
      <c r="B56">
        <v>2</v>
      </c>
      <c r="C56">
        <v>0</v>
      </c>
      <c r="D56" t="s">
        <v>20</v>
      </c>
      <c r="E56" t="s">
        <v>21</v>
      </c>
      <c r="F56">
        <v>7</v>
      </c>
      <c r="G56">
        <v>401708</v>
      </c>
      <c r="H56" t="s">
        <v>122</v>
      </c>
      <c r="I56">
        <v>2008</v>
      </c>
      <c r="J56">
        <v>2</v>
      </c>
    </row>
    <row r="57" spans="1:10" x14ac:dyDescent="0.25">
      <c r="A57">
        <v>6</v>
      </c>
      <c r="B57">
        <v>11</v>
      </c>
      <c r="C57">
        <v>0</v>
      </c>
      <c r="D57" t="s">
        <v>20</v>
      </c>
      <c r="E57" t="s">
        <v>42</v>
      </c>
      <c r="F57">
        <v>7</v>
      </c>
      <c r="G57">
        <v>401708</v>
      </c>
      <c r="H57" t="s">
        <v>123</v>
      </c>
      <c r="I57">
        <v>2023</v>
      </c>
      <c r="J57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EA92-D003-4D81-9F64-F9CFC8AE5BB8}">
  <dimension ref="A1"/>
  <sheetViews>
    <sheetView workbookViewId="0">
      <selection activeCell="A3" sqref="A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Malaquias</dc:creator>
  <cp:lastModifiedBy>Alexandre Malaquias</cp:lastModifiedBy>
  <dcterms:created xsi:type="dcterms:W3CDTF">2025-12-04T11:53:24Z</dcterms:created>
  <dcterms:modified xsi:type="dcterms:W3CDTF">2025-12-09T17:34:32Z</dcterms:modified>
</cp:coreProperties>
</file>